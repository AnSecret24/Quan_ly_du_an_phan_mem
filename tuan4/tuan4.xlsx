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NTT\Hoc_ki_7_2025\Quan_ly_du_an_phan_mem\tuan4\"/>
    </mc:Choice>
  </mc:AlternateContent>
  <xr:revisionPtr revIDLastSave="0" documentId="13_ncr:1_{271B8A2D-D205-4C44-96FF-D62B8E984326}" xr6:coauthVersionLast="47" xr6:coauthVersionMax="47" xr10:uidLastSave="{00000000-0000-0000-0000-000000000000}"/>
  <bookViews>
    <workbookView xWindow="-108" yWindow="-108" windowWidth="23256" windowHeight="12456" activeTab="3" xr2:uid="{2BB2F2B6-38AF-40EA-8BFF-BC8A0B352FD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_xlnm._FilterDatabase" localSheetId="6" hidden="1">Sheet7!$A$1:$J$7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9" l="1"/>
  <c r="E1" i="9"/>
  <c r="D3" i="8"/>
  <c r="D4" i="8"/>
  <c r="D5" i="8"/>
  <c r="D6" i="8"/>
  <c r="D7" i="8"/>
  <c r="D8" i="8"/>
  <c r="D9" i="8"/>
  <c r="D10" i="8"/>
  <c r="D11" i="8"/>
  <c r="D12" i="8"/>
  <c r="D13" i="8"/>
  <c r="D14" i="8"/>
  <c r="C4" i="8"/>
  <c r="C5" i="8"/>
  <c r="C6" i="8"/>
  <c r="C7" i="8"/>
  <c r="C8" i="8"/>
  <c r="C9" i="8"/>
  <c r="C10" i="8"/>
  <c r="C11" i="8"/>
  <c r="C12" i="8"/>
  <c r="C13" i="8"/>
  <c r="C14" i="8"/>
  <c r="C3" i="8"/>
  <c r="D16" i="8" s="1"/>
  <c r="H4" i="7"/>
  <c r="I4" i="7" s="1"/>
  <c r="H5" i="7"/>
  <c r="H6" i="7"/>
  <c r="H7" i="7"/>
  <c r="H3" i="7"/>
  <c r="I3" i="7" s="1"/>
  <c r="L2" i="7"/>
  <c r="E2" i="6"/>
  <c r="E5" i="6" s="1"/>
  <c r="E3" i="6"/>
  <c r="D3" i="6"/>
  <c r="D2" i="6"/>
  <c r="C3" i="6"/>
  <c r="C2" i="6"/>
  <c r="J1" i="5"/>
  <c r="G4" i="5"/>
  <c r="G5" i="5" s="1"/>
  <c r="G6" i="5" s="1"/>
  <c r="G7" i="5" s="1"/>
  <c r="G3" i="5"/>
  <c r="G2" i="5"/>
  <c r="F3" i="5"/>
  <c r="F4" i="5"/>
  <c r="F5" i="5"/>
  <c r="F6" i="5"/>
  <c r="F7" i="5"/>
  <c r="F2" i="5"/>
  <c r="E3" i="5"/>
  <c r="E4" i="5"/>
  <c r="E5" i="5"/>
  <c r="E6" i="5"/>
  <c r="E7" i="5"/>
  <c r="E2" i="5"/>
  <c r="D6" i="4"/>
  <c r="D10" i="4"/>
  <c r="C3" i="4"/>
  <c r="D3" i="4" s="1"/>
  <c r="C4" i="4"/>
  <c r="D4" i="4" s="1"/>
  <c r="C5" i="4"/>
  <c r="D5" i="4" s="1"/>
  <c r="C6" i="4"/>
  <c r="C7" i="4"/>
  <c r="D7" i="4" s="1"/>
  <c r="C8" i="4"/>
  <c r="D8" i="4" s="1"/>
  <c r="C9" i="4"/>
  <c r="D9" i="4" s="1"/>
  <c r="C10" i="4"/>
  <c r="C2" i="4"/>
  <c r="D2" i="4" s="1"/>
  <c r="E2" i="4" s="1"/>
  <c r="E3" i="4" s="1"/>
  <c r="G9" i="3"/>
  <c r="B9" i="3"/>
  <c r="I12" i="2"/>
  <c r="B12" i="2"/>
  <c r="M10" i="2"/>
  <c r="M9" i="2"/>
  <c r="M8" i="2"/>
  <c r="M7" i="2"/>
  <c r="M6" i="2"/>
  <c r="M5" i="2"/>
  <c r="M4" i="2"/>
  <c r="M3" i="2"/>
  <c r="F4" i="2"/>
  <c r="F5" i="2"/>
  <c r="F6" i="2"/>
  <c r="F7" i="2"/>
  <c r="F8" i="2"/>
  <c r="F9" i="2"/>
  <c r="F10" i="2"/>
  <c r="F3" i="2"/>
  <c r="L10" i="2"/>
  <c r="L9" i="2"/>
  <c r="L8" i="2"/>
  <c r="L7" i="2"/>
  <c r="L6" i="2"/>
  <c r="L5" i="2"/>
  <c r="L4" i="2"/>
  <c r="L3" i="2"/>
  <c r="E4" i="2"/>
  <c r="E5" i="2"/>
  <c r="E6" i="2"/>
  <c r="E7" i="2"/>
  <c r="E8" i="2"/>
  <c r="E9" i="2"/>
  <c r="E10" i="2"/>
  <c r="E3" i="2"/>
  <c r="K10" i="2"/>
  <c r="K9" i="2"/>
  <c r="K8" i="2"/>
  <c r="K7" i="2"/>
  <c r="K6" i="2"/>
  <c r="K5" i="2"/>
  <c r="K4" i="2"/>
  <c r="K3" i="2"/>
  <c r="D4" i="2"/>
  <c r="D5" i="2"/>
  <c r="D6" i="2"/>
  <c r="D7" i="2"/>
  <c r="D8" i="2"/>
  <c r="D9" i="2"/>
  <c r="D10" i="2"/>
  <c r="D3" i="2"/>
  <c r="L13" i="1"/>
  <c r="B13" i="1"/>
  <c r="L12" i="1"/>
  <c r="L11" i="1"/>
  <c r="L10" i="1"/>
  <c r="B12" i="1"/>
  <c r="B11" i="1"/>
  <c r="B10" i="1"/>
  <c r="Q4" i="1"/>
  <c r="Q3" i="1"/>
  <c r="G8" i="1"/>
  <c r="G3" i="1"/>
  <c r="O3" i="1"/>
  <c r="R3" i="1" s="1"/>
  <c r="O8" i="1"/>
  <c r="R8" i="1" s="1"/>
  <c r="O7" i="1"/>
  <c r="R7" i="1" s="1"/>
  <c r="O6" i="1"/>
  <c r="R6" i="1" s="1"/>
  <c r="O5" i="1"/>
  <c r="P5" i="1" s="1"/>
  <c r="O4" i="1"/>
  <c r="R4" i="1" s="1"/>
  <c r="E4" i="1"/>
  <c r="H4" i="1" s="1"/>
  <c r="E5" i="1"/>
  <c r="F5" i="1" s="1"/>
  <c r="E6" i="1"/>
  <c r="H6" i="1" s="1"/>
  <c r="E7" i="1"/>
  <c r="H7" i="1" s="1"/>
  <c r="E8" i="1"/>
  <c r="H8" i="1" s="1"/>
  <c r="E3" i="1"/>
  <c r="F3" i="1" s="1"/>
  <c r="N4" i="1"/>
  <c r="N5" i="1"/>
  <c r="N6" i="1"/>
  <c r="N7" i="1"/>
  <c r="N8" i="1"/>
  <c r="N3" i="1"/>
  <c r="D4" i="1"/>
  <c r="D5" i="1"/>
  <c r="D6" i="1"/>
  <c r="D7" i="1"/>
  <c r="D8" i="1"/>
  <c r="D3" i="1"/>
  <c r="J7" i="7" l="1"/>
  <c r="I7" i="7"/>
  <c r="J6" i="7"/>
  <c r="J3" i="7"/>
  <c r="J5" i="7"/>
  <c r="J4" i="7"/>
  <c r="I6" i="7"/>
  <c r="I5" i="7"/>
  <c r="E4" i="4"/>
  <c r="E5" i="4" s="1"/>
  <c r="E6" i="4" s="1"/>
  <c r="E7" i="4" s="1"/>
  <c r="E8" i="4" s="1"/>
  <c r="E9" i="4" s="1"/>
  <c r="F8" i="1"/>
  <c r="F4" i="1"/>
  <c r="R5" i="1"/>
  <c r="Q5" i="1"/>
  <c r="P6" i="1"/>
  <c r="G5" i="1"/>
  <c r="F7" i="1"/>
  <c r="P3" i="1"/>
  <c r="P7" i="1"/>
  <c r="G4" i="1"/>
  <c r="Q6" i="1"/>
  <c r="F6" i="1"/>
  <c r="P4" i="1"/>
  <c r="P8" i="1"/>
  <c r="G7" i="1"/>
  <c r="Q7" i="1"/>
  <c r="H3" i="1"/>
  <c r="H5" i="1"/>
  <c r="G6" i="1"/>
  <c r="Q8" i="1"/>
  <c r="E10" i="4" l="1"/>
  <c r="K1" i="4"/>
</calcChain>
</file>

<file path=xl/sharedStrings.xml><?xml version="1.0" encoding="utf-8"?>
<sst xmlns="http://schemas.openxmlformats.org/spreadsheetml/2006/main" count="105" uniqueCount="57">
  <si>
    <t>Năm</t>
  </si>
  <si>
    <t>Đầu tư</t>
  </si>
  <si>
    <t>Lợi nhuận</t>
  </si>
  <si>
    <t>CF</t>
  </si>
  <si>
    <t>Dự án thứ nhất</t>
  </si>
  <si>
    <t>Dự án thứ hai</t>
  </si>
  <si>
    <t>Hệ số chiết khấu</t>
  </si>
  <si>
    <t>PV(CF)</t>
  </si>
  <si>
    <t>PV lợi nhuận (&gt;0)</t>
  </si>
  <si>
    <t>PV chi phí</t>
  </si>
  <si>
    <t>NPV</t>
  </si>
  <si>
    <t>PV_lợi_nhuận</t>
  </si>
  <si>
    <t>PV_đầu_tư</t>
  </si>
  <si>
    <t>PI</t>
  </si>
  <si>
    <t>Dự án A</t>
  </si>
  <si>
    <t>Dòng vào</t>
  </si>
  <si>
    <t>Dòng ra</t>
  </si>
  <si>
    <t>Dự án B</t>
  </si>
  <si>
    <t>Dòng tiền ròng (CF)</t>
  </si>
  <si>
    <t>Dòng tiền tích lũy</t>
  </si>
  <si>
    <t>Payback</t>
  </si>
  <si>
    <t>lãi suất</t>
  </si>
  <si>
    <t>CF tích lũy</t>
  </si>
  <si>
    <t>thời gian hoàn vốn chiết khấu</t>
  </si>
  <si>
    <t xml:space="preserve">CF </t>
  </si>
  <si>
    <t>Số tiền</t>
  </si>
  <si>
    <t xml:space="preserve"> Năm t</t>
  </si>
  <si>
    <t>3 -t</t>
  </si>
  <si>
    <t>Giá trị tại năm 3</t>
  </si>
  <si>
    <t>Tổng tại 3 năm</t>
  </si>
  <si>
    <t>Dự án</t>
  </si>
  <si>
    <t>Nhà tài trợ mạnh</t>
  </si>
  <si>
    <t>Tính cấp thiết</t>
  </si>
  <si>
    <t>Cạnh tranh</t>
  </si>
  <si>
    <t>Lấp đầy khoảng trống thị trường</t>
  </si>
  <si>
    <t>10% doanh số từ sản phẩm mới</t>
  </si>
  <si>
    <t>Hỗ trợ chiến lược kinh doanh</t>
  </si>
  <si>
    <t>Điểm có trọng số</t>
  </si>
  <si>
    <t>Điểm TB (chuẩn hóa)</t>
  </si>
  <si>
    <t>Rank</t>
  </si>
  <si>
    <t>Trọng số</t>
  </si>
  <si>
    <t>Dự án 1</t>
  </si>
  <si>
    <t>Dự án 2</t>
  </si>
  <si>
    <t>Dự án 3</t>
  </si>
  <si>
    <t>Dự án 4</t>
  </si>
  <si>
    <t>Dự án 5</t>
  </si>
  <si>
    <t>Tổng trọng số</t>
  </si>
  <si>
    <t xml:space="preserve">Tháng </t>
  </si>
  <si>
    <t>PV</t>
  </si>
  <si>
    <t>Tổng PV</t>
  </si>
  <si>
    <t>Rate</t>
  </si>
  <si>
    <t>PV ban đầu</t>
  </si>
  <si>
    <t>PMT đã trả 7 năm</t>
  </si>
  <si>
    <t>Số kỳ đã trả</t>
  </si>
  <si>
    <t>Số năm còn trả</t>
  </si>
  <si>
    <t>Dư nợ sau  7 năm</t>
  </si>
  <si>
    <t>Số tiền phải trả trong 5 năm tới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</si>
</sst>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9" formatCode="0.000"/>
    <numFmt numFmtId="170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5" xfId="0" applyBorder="1"/>
    <xf numFmtId="9" fontId="0" fillId="0" borderId="0" xfId="0" applyNumberFormat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Fill="1" applyBorder="1"/>
    <xf numFmtId="0" fontId="0" fillId="0" borderId="6" xfId="0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8" fontId="0" fillId="0" borderId="0" xfId="0" applyNumberFormat="1"/>
    <xf numFmtId="169" fontId="0" fillId="0" borderId="1" xfId="0" applyNumberFormat="1" applyBorder="1"/>
    <xf numFmtId="10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9D0F-36C4-4D69-99EE-3D2ABD773ABD}">
  <dimension ref="A1:T13"/>
  <sheetViews>
    <sheetView workbookViewId="0">
      <selection activeCell="L17" sqref="L17"/>
    </sheetView>
  </sheetViews>
  <sheetFormatPr defaultRowHeight="14.4"/>
  <cols>
    <col min="1" max="1" width="12.21875" customWidth="1"/>
    <col min="5" max="5" width="14.21875" customWidth="1"/>
    <col min="7" max="7" width="15.21875" customWidth="1"/>
    <col min="11" max="11" width="11.88671875" customWidth="1"/>
  </cols>
  <sheetData>
    <row r="1" spans="1:20">
      <c r="A1" s="5" t="s">
        <v>4</v>
      </c>
      <c r="B1" s="6"/>
      <c r="C1" s="6"/>
      <c r="D1" s="6"/>
      <c r="E1" s="6"/>
      <c r="F1" s="6"/>
      <c r="G1" s="6"/>
      <c r="H1" s="7"/>
      <c r="K1" s="5" t="s">
        <v>5</v>
      </c>
      <c r="L1" s="6"/>
      <c r="M1" s="6"/>
      <c r="N1" s="6"/>
      <c r="O1" s="6"/>
      <c r="P1" s="6"/>
      <c r="Q1" s="6"/>
      <c r="R1" s="7"/>
    </row>
    <row r="2" spans="1:20">
      <c r="A2" s="4" t="s">
        <v>0</v>
      </c>
      <c r="B2" s="4" t="s">
        <v>1</v>
      </c>
      <c r="C2" s="4" t="s">
        <v>2</v>
      </c>
      <c r="D2" s="4" t="s">
        <v>3</v>
      </c>
      <c r="E2" s="2" t="s">
        <v>6</v>
      </c>
      <c r="F2" s="4" t="s">
        <v>7</v>
      </c>
      <c r="G2" s="9" t="s">
        <v>8</v>
      </c>
      <c r="H2" s="8" t="s">
        <v>9</v>
      </c>
      <c r="K2" s="4" t="s">
        <v>0</v>
      </c>
      <c r="L2" s="4" t="s">
        <v>1</v>
      </c>
      <c r="M2" s="4" t="s">
        <v>2</v>
      </c>
      <c r="N2" s="4" t="s">
        <v>3</v>
      </c>
      <c r="O2" s="2" t="s">
        <v>6</v>
      </c>
      <c r="P2" s="4" t="s">
        <v>7</v>
      </c>
      <c r="Q2" s="9" t="s">
        <v>8</v>
      </c>
      <c r="R2" s="8" t="s">
        <v>9</v>
      </c>
      <c r="T2" s="3">
        <v>0.17</v>
      </c>
    </row>
    <row r="3" spans="1:20">
      <c r="A3" s="1">
        <v>0</v>
      </c>
      <c r="B3" s="1">
        <v>500</v>
      </c>
      <c r="C3" s="1">
        <v>0</v>
      </c>
      <c r="D3" s="1">
        <f>C3-B3</f>
        <v>-500</v>
      </c>
      <c r="E3" s="1">
        <f>1/(1+$T$2)^A3</f>
        <v>1</v>
      </c>
      <c r="F3" s="1">
        <f>D3*E3</f>
        <v>-500</v>
      </c>
      <c r="G3" s="1">
        <f>IF(C3&gt;0, C3*E3, 0)</f>
        <v>0</v>
      </c>
      <c r="H3" s="1">
        <f>(B3 + IF(C3&lt;0, -C3, 0))*E3</f>
        <v>500</v>
      </c>
      <c r="K3" s="1">
        <v>0</v>
      </c>
      <c r="L3" s="1">
        <v>100</v>
      </c>
      <c r="M3" s="1">
        <v>0</v>
      </c>
      <c r="N3" s="1">
        <f>M3-L3</f>
        <v>-100</v>
      </c>
      <c r="O3" s="1">
        <f>1/(1+$T$2)^K3</f>
        <v>1</v>
      </c>
      <c r="P3" s="1">
        <f>N3*O3</f>
        <v>-100</v>
      </c>
      <c r="Q3" s="1">
        <f>IF(M3&gt;0, M3*O3, 0)</f>
        <v>0</v>
      </c>
      <c r="R3" s="1">
        <f>(L3 + IF(M3&lt;0, -M3, 0))*O3</f>
        <v>100</v>
      </c>
    </row>
    <row r="4" spans="1:20">
      <c r="A4" s="1">
        <v>1</v>
      </c>
      <c r="B4" s="1">
        <v>0</v>
      </c>
      <c r="C4" s="1">
        <v>250</v>
      </c>
      <c r="D4" s="1">
        <f t="shared" ref="D4:D8" si="0">C4-B4</f>
        <v>250</v>
      </c>
      <c r="E4" s="1">
        <f>1/(1+$T$2)^A4</f>
        <v>0.85470085470085477</v>
      </c>
      <c r="F4" s="1">
        <f t="shared" ref="F4:F8" si="1">D4*E4</f>
        <v>213.67521367521368</v>
      </c>
      <c r="G4" s="1">
        <f t="shared" ref="G4:G8" si="2">IF(C4&gt;0, C4*E4, 0)</f>
        <v>213.67521367521368</v>
      </c>
      <c r="H4" s="1">
        <f t="shared" ref="H4:H8" si="3">(B4 + IF(C4&lt;0, -C4, 0))*E4</f>
        <v>0</v>
      </c>
      <c r="K4" s="1">
        <v>1</v>
      </c>
      <c r="L4" s="1">
        <v>0</v>
      </c>
      <c r="M4" s="1">
        <v>-100</v>
      </c>
      <c r="N4" s="1">
        <f t="shared" ref="N4:N8" si="4">M4-L4</f>
        <v>-100</v>
      </c>
      <c r="O4" s="1">
        <f>1/(1+$T$2)^K4</f>
        <v>0.85470085470085477</v>
      </c>
      <c r="P4" s="1">
        <f t="shared" ref="P4:P8" si="5">N4*O4</f>
        <v>-85.470085470085479</v>
      </c>
      <c r="Q4" s="1">
        <f t="shared" ref="Q4:Q8" si="6">IF(M4&gt;0, M4*O4, 0)</f>
        <v>0</v>
      </c>
      <c r="R4" s="1">
        <f t="shared" ref="R4:R8" si="7">(L4 + IF(M4&lt;0, -M4, 0))*O4</f>
        <v>85.470085470085479</v>
      </c>
    </row>
    <row r="5" spans="1:20">
      <c r="A5" s="1">
        <v>2</v>
      </c>
      <c r="B5" s="1">
        <v>100</v>
      </c>
      <c r="C5" s="1">
        <v>350</v>
      </c>
      <c r="D5" s="1">
        <f t="shared" si="0"/>
        <v>250</v>
      </c>
      <c r="E5" s="1">
        <f>1/(1+$T$2)^A5</f>
        <v>0.73051355102637161</v>
      </c>
      <c r="F5" s="1">
        <f t="shared" si="1"/>
        <v>182.6283877565929</v>
      </c>
      <c r="G5" s="1">
        <f t="shared" si="2"/>
        <v>255.67974285923006</v>
      </c>
      <c r="H5" s="1">
        <f t="shared" si="3"/>
        <v>73.05135510263716</v>
      </c>
      <c r="K5" s="1">
        <v>2</v>
      </c>
      <c r="L5" s="1">
        <v>50</v>
      </c>
      <c r="M5" s="1">
        <v>200</v>
      </c>
      <c r="N5" s="1">
        <f t="shared" si="4"/>
        <v>150</v>
      </c>
      <c r="O5" s="1">
        <f>1/(1+$T$2)^K5</f>
        <v>0.73051355102637161</v>
      </c>
      <c r="P5" s="1">
        <f t="shared" si="5"/>
        <v>109.57703265395574</v>
      </c>
      <c r="Q5" s="1">
        <f t="shared" si="6"/>
        <v>146.10271020527432</v>
      </c>
      <c r="R5" s="1">
        <f t="shared" si="7"/>
        <v>36.52567755131858</v>
      </c>
    </row>
    <row r="6" spans="1:20">
      <c r="A6" s="1">
        <v>3</v>
      </c>
      <c r="B6" s="1">
        <v>0</v>
      </c>
      <c r="C6" s="1">
        <v>450</v>
      </c>
      <c r="D6" s="1">
        <f t="shared" si="0"/>
        <v>450</v>
      </c>
      <c r="E6" s="1">
        <f>1/(1+$T$2)^A6</f>
        <v>0.62437055643279626</v>
      </c>
      <c r="F6" s="1">
        <f t="shared" si="1"/>
        <v>280.96675039475832</v>
      </c>
      <c r="G6" s="1">
        <f t="shared" si="2"/>
        <v>280.96675039475832</v>
      </c>
      <c r="H6" s="1">
        <f t="shared" si="3"/>
        <v>0</v>
      </c>
      <c r="K6" s="1">
        <v>3</v>
      </c>
      <c r="L6" s="1">
        <v>0</v>
      </c>
      <c r="M6" s="1">
        <v>200</v>
      </c>
      <c r="N6" s="1">
        <f t="shared" si="4"/>
        <v>200</v>
      </c>
      <c r="O6" s="1">
        <f>1/(1+$T$2)^K6</f>
        <v>0.62437055643279626</v>
      </c>
      <c r="P6" s="1">
        <f t="shared" si="5"/>
        <v>124.87411128655926</v>
      </c>
      <c r="Q6" s="1">
        <f t="shared" si="6"/>
        <v>124.87411128655926</v>
      </c>
      <c r="R6" s="1">
        <f t="shared" si="7"/>
        <v>0</v>
      </c>
    </row>
    <row r="7" spans="1:20">
      <c r="A7" s="1">
        <v>4</v>
      </c>
      <c r="B7" s="1">
        <v>0</v>
      </c>
      <c r="C7" s="1">
        <v>500</v>
      </c>
      <c r="D7" s="1">
        <f t="shared" si="0"/>
        <v>500</v>
      </c>
      <c r="E7" s="1">
        <f>1/(1+$T$2)^A7</f>
        <v>0.53365004823315931</v>
      </c>
      <c r="F7" s="1">
        <f t="shared" si="1"/>
        <v>266.82502411657964</v>
      </c>
      <c r="G7" s="1">
        <f t="shared" si="2"/>
        <v>266.82502411657964</v>
      </c>
      <c r="H7" s="1">
        <f t="shared" si="3"/>
        <v>0</v>
      </c>
      <c r="K7" s="1">
        <v>4</v>
      </c>
      <c r="L7" s="1">
        <v>0</v>
      </c>
      <c r="M7" s="1">
        <v>200</v>
      </c>
      <c r="N7" s="1">
        <f t="shared" si="4"/>
        <v>200</v>
      </c>
      <c r="O7" s="1">
        <f>1/(1+$T$2)^K7</f>
        <v>0.53365004823315931</v>
      </c>
      <c r="P7" s="1">
        <f t="shared" si="5"/>
        <v>106.73000964663186</v>
      </c>
      <c r="Q7" s="1">
        <f t="shared" si="6"/>
        <v>106.73000964663186</v>
      </c>
      <c r="R7" s="1">
        <f t="shared" si="7"/>
        <v>0</v>
      </c>
    </row>
    <row r="8" spans="1:20">
      <c r="A8" s="1">
        <v>5</v>
      </c>
      <c r="B8" s="1">
        <v>0</v>
      </c>
      <c r="C8" s="1">
        <v>-100</v>
      </c>
      <c r="D8" s="1">
        <f t="shared" si="0"/>
        <v>-100</v>
      </c>
      <c r="E8" s="1">
        <f>1/(1+$T$2)^A8</f>
        <v>0.45611115233603361</v>
      </c>
      <c r="F8" s="1">
        <f t="shared" si="1"/>
        <v>-45.611115233603364</v>
      </c>
      <c r="G8" s="1">
        <f t="shared" si="2"/>
        <v>0</v>
      </c>
      <c r="H8" s="1">
        <f t="shared" si="3"/>
        <v>45.611115233603364</v>
      </c>
      <c r="K8" s="1">
        <v>5</v>
      </c>
      <c r="L8" s="1">
        <v>0</v>
      </c>
      <c r="M8" s="1">
        <v>300</v>
      </c>
      <c r="N8" s="1">
        <f t="shared" si="4"/>
        <v>300</v>
      </c>
      <c r="O8" s="1">
        <f>1/(1+$T$2)^K8</f>
        <v>0.45611115233603361</v>
      </c>
      <c r="P8" s="1">
        <f t="shared" si="5"/>
        <v>136.83334570081007</v>
      </c>
      <c r="Q8" s="1">
        <f t="shared" si="6"/>
        <v>136.83334570081007</v>
      </c>
      <c r="R8" s="1">
        <f t="shared" si="7"/>
        <v>0</v>
      </c>
    </row>
    <row r="10" spans="1:20">
      <c r="A10" s="1" t="s">
        <v>10</v>
      </c>
      <c r="B10" s="1">
        <f>SUM(F3:F8)</f>
        <v>398.48426070954116</v>
      </c>
      <c r="K10" s="1" t="s">
        <v>10</v>
      </c>
      <c r="L10" s="1">
        <f>SUM(P3:P8)</f>
        <v>292.54441381787143</v>
      </c>
    </row>
    <row r="11" spans="1:20">
      <c r="A11" s="1" t="s">
        <v>11</v>
      </c>
      <c r="B11" s="1">
        <f>SUM(G3:G8)</f>
        <v>1017.1467310457817</v>
      </c>
      <c r="K11" s="1" t="s">
        <v>11</v>
      </c>
      <c r="L11" s="1">
        <f>SUM(Q3:Q8)</f>
        <v>514.54017683927555</v>
      </c>
    </row>
    <row r="12" spans="1:20">
      <c r="A12" s="1" t="s">
        <v>12</v>
      </c>
      <c r="B12" s="1">
        <f>SUM(H3:H8)</f>
        <v>618.66247033624063</v>
      </c>
      <c r="K12" s="1" t="s">
        <v>12</v>
      </c>
      <c r="L12" s="1">
        <f>SUM(R3:R8)</f>
        <v>221.99576302140406</v>
      </c>
    </row>
    <row r="13" spans="1:20">
      <c r="A13" s="1" t="s">
        <v>13</v>
      </c>
      <c r="B13" s="1">
        <f>B11/B12</f>
        <v>1.6441060833914274</v>
      </c>
      <c r="K13" s="1" t="s">
        <v>13</v>
      </c>
      <c r="L13" s="1">
        <f>L11/L12</f>
        <v>2.3177927805300742</v>
      </c>
    </row>
  </sheetData>
  <mergeCells count="2">
    <mergeCell ref="A1:H1"/>
    <mergeCell ref="K1: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0DB5-8E4E-4C0B-8043-1A74CC9941C2}">
  <dimension ref="A1:M20"/>
  <sheetViews>
    <sheetView workbookViewId="0">
      <selection activeCell="H23" sqref="H23"/>
    </sheetView>
  </sheetViews>
  <sheetFormatPr defaultRowHeight="14.4"/>
  <cols>
    <col min="5" max="5" width="14.33203125" customWidth="1"/>
    <col min="12" max="12" width="14.109375" customWidth="1"/>
  </cols>
  <sheetData>
    <row r="1" spans="1:13">
      <c r="A1" s="10" t="s">
        <v>14</v>
      </c>
      <c r="B1" s="10"/>
      <c r="C1" s="10"/>
      <c r="D1" s="10"/>
      <c r="E1" s="10"/>
      <c r="F1" s="10"/>
      <c r="H1" s="10" t="s">
        <v>17</v>
      </c>
      <c r="I1" s="10"/>
      <c r="J1" s="10"/>
      <c r="K1" s="10"/>
      <c r="L1" s="10"/>
      <c r="M1" s="10"/>
    </row>
    <row r="2" spans="1:13">
      <c r="A2" s="1" t="s">
        <v>0</v>
      </c>
      <c r="B2" s="1" t="s">
        <v>15</v>
      </c>
      <c r="C2" s="1" t="s">
        <v>16</v>
      </c>
      <c r="D2" s="1" t="s">
        <v>3</v>
      </c>
      <c r="E2" s="8" t="s">
        <v>6</v>
      </c>
      <c r="F2" s="8" t="s">
        <v>7</v>
      </c>
      <c r="H2" s="1" t="s">
        <v>0</v>
      </c>
      <c r="I2" s="1" t="s">
        <v>15</v>
      </c>
      <c r="J2" s="1" t="s">
        <v>16</v>
      </c>
      <c r="K2" s="1" t="s">
        <v>3</v>
      </c>
      <c r="L2" s="8" t="s">
        <v>6</v>
      </c>
      <c r="M2" s="8" t="s">
        <v>7</v>
      </c>
    </row>
    <row r="3" spans="1:13">
      <c r="A3" s="1">
        <v>0</v>
      </c>
      <c r="B3" s="1">
        <v>0</v>
      </c>
      <c r="C3" s="1">
        <v>225</v>
      </c>
      <c r="D3" s="1">
        <f>B3-C3</f>
        <v>-225</v>
      </c>
      <c r="E3" s="1">
        <f>1/(1+$A$20)^A3</f>
        <v>1</v>
      </c>
      <c r="F3" s="1">
        <f>D3*E3</f>
        <v>-225</v>
      </c>
      <c r="H3" s="1">
        <v>0</v>
      </c>
      <c r="I3" s="1">
        <v>0</v>
      </c>
      <c r="J3" s="1">
        <v>300</v>
      </c>
      <c r="K3" s="1">
        <f>I3-J3</f>
        <v>-300</v>
      </c>
      <c r="L3" s="1">
        <f>1/(1+$A$20)^H3</f>
        <v>1</v>
      </c>
      <c r="M3" s="1">
        <f>K3*L3</f>
        <v>-300</v>
      </c>
    </row>
    <row r="4" spans="1:13">
      <c r="A4" s="1">
        <v>1</v>
      </c>
      <c r="B4" s="1">
        <v>0</v>
      </c>
      <c r="C4" s="1">
        <v>190</v>
      </c>
      <c r="D4" s="1">
        <f t="shared" ref="D4:D10" si="0">B4-C4</f>
        <v>-190</v>
      </c>
      <c r="E4" s="1">
        <f>1/(1+$A$20)^A4</f>
        <v>0.84745762711864414</v>
      </c>
      <c r="F4" s="1">
        <f t="shared" ref="F4:F10" si="1">D4*E4</f>
        <v>-161.0169491525424</v>
      </c>
      <c r="H4" s="1">
        <v>1</v>
      </c>
      <c r="I4" s="1">
        <v>50</v>
      </c>
      <c r="J4" s="1">
        <v>100</v>
      </c>
      <c r="K4" s="1">
        <f t="shared" ref="K4:K10" si="2">I4-J4</f>
        <v>-50</v>
      </c>
      <c r="L4" s="1">
        <f>1/(1+$A$20)^H4</f>
        <v>0.84745762711864414</v>
      </c>
      <c r="M4" s="1">
        <f t="shared" ref="M4:M10" si="3">K4*L4</f>
        <v>-42.372881355932208</v>
      </c>
    </row>
    <row r="5" spans="1:13">
      <c r="A5" s="1">
        <v>2</v>
      </c>
      <c r="B5" s="1">
        <v>150</v>
      </c>
      <c r="C5" s="1">
        <v>0</v>
      </c>
      <c r="D5" s="1">
        <f t="shared" si="0"/>
        <v>150</v>
      </c>
      <c r="E5" s="1">
        <f>1/(1+$A$20)^A5</f>
        <v>0.71818442976156283</v>
      </c>
      <c r="F5" s="1">
        <f t="shared" si="1"/>
        <v>107.72766446423442</v>
      </c>
      <c r="H5" s="1">
        <v>2</v>
      </c>
      <c r="I5" s="1">
        <v>150</v>
      </c>
      <c r="J5" s="1">
        <v>0</v>
      </c>
      <c r="K5" s="1">
        <f t="shared" si="2"/>
        <v>150</v>
      </c>
      <c r="L5" s="1">
        <f>1/(1+$A$20)^H5</f>
        <v>0.71818442976156283</v>
      </c>
      <c r="M5" s="1">
        <f t="shared" si="3"/>
        <v>107.72766446423442</v>
      </c>
    </row>
    <row r="6" spans="1:13">
      <c r="A6" s="1">
        <v>3</v>
      </c>
      <c r="B6" s="1">
        <v>220</v>
      </c>
      <c r="C6" s="1">
        <v>30</v>
      </c>
      <c r="D6" s="1">
        <f t="shared" si="0"/>
        <v>190</v>
      </c>
      <c r="E6" s="1">
        <f>1/(1+$A$20)^A6</f>
        <v>0.6086308726792905</v>
      </c>
      <c r="F6" s="1">
        <f t="shared" si="1"/>
        <v>115.6398658090652</v>
      </c>
      <c r="H6" s="1">
        <v>3</v>
      </c>
      <c r="I6" s="1">
        <v>250</v>
      </c>
      <c r="J6" s="1">
        <v>50</v>
      </c>
      <c r="K6" s="1">
        <f t="shared" si="2"/>
        <v>200</v>
      </c>
      <c r="L6" s="1">
        <f>1/(1+$A$20)^H6</f>
        <v>0.6086308726792905</v>
      </c>
      <c r="M6" s="1">
        <f t="shared" si="3"/>
        <v>121.72617453585811</v>
      </c>
    </row>
    <row r="7" spans="1:13">
      <c r="A7" s="1">
        <v>4</v>
      </c>
      <c r="B7" s="1">
        <v>215</v>
      </c>
      <c r="C7" s="1">
        <v>0</v>
      </c>
      <c r="D7" s="1">
        <f t="shared" si="0"/>
        <v>215</v>
      </c>
      <c r="E7" s="1">
        <f>1/(1+$A$20)^A7</f>
        <v>0.51578887515194116</v>
      </c>
      <c r="F7" s="1">
        <f t="shared" si="1"/>
        <v>110.89460815766735</v>
      </c>
      <c r="H7" s="1">
        <v>4</v>
      </c>
      <c r="I7" s="1">
        <v>250</v>
      </c>
      <c r="J7" s="1">
        <v>0</v>
      </c>
      <c r="K7" s="1">
        <f t="shared" si="2"/>
        <v>250</v>
      </c>
      <c r="L7" s="1">
        <f>1/(1+$A$20)^H7</f>
        <v>0.51578887515194116</v>
      </c>
      <c r="M7" s="1">
        <f t="shared" si="3"/>
        <v>128.94721878798529</v>
      </c>
    </row>
    <row r="8" spans="1:13">
      <c r="A8" s="1">
        <v>5</v>
      </c>
      <c r="B8" s="1">
        <v>205</v>
      </c>
      <c r="C8" s="1">
        <v>30</v>
      </c>
      <c r="D8" s="1">
        <f t="shared" si="0"/>
        <v>175</v>
      </c>
      <c r="E8" s="1">
        <f>1/(1+$A$20)^A8</f>
        <v>0.43710921623045873</v>
      </c>
      <c r="F8" s="1">
        <f t="shared" si="1"/>
        <v>76.494112840330274</v>
      </c>
      <c r="H8" s="1">
        <v>5</v>
      </c>
      <c r="I8" s="1">
        <v>200</v>
      </c>
      <c r="J8" s="1">
        <v>50</v>
      </c>
      <c r="K8" s="1">
        <f t="shared" si="2"/>
        <v>150</v>
      </c>
      <c r="L8" s="1">
        <f>1/(1+$A$20)^H8</f>
        <v>0.43710921623045873</v>
      </c>
      <c r="M8" s="1">
        <f t="shared" si="3"/>
        <v>65.566382434568808</v>
      </c>
    </row>
    <row r="9" spans="1:13">
      <c r="A9" s="1">
        <v>6</v>
      </c>
      <c r="B9" s="1">
        <v>197</v>
      </c>
      <c r="C9" s="1">
        <v>0</v>
      </c>
      <c r="D9" s="1">
        <f t="shared" si="0"/>
        <v>197</v>
      </c>
      <c r="E9" s="1">
        <f>1/(1+$A$20)^A9</f>
        <v>0.37043153917835481</v>
      </c>
      <c r="F9" s="1">
        <f t="shared" si="1"/>
        <v>72.975013218135899</v>
      </c>
      <c r="H9" s="1">
        <v>6</v>
      </c>
      <c r="I9" s="1">
        <v>180</v>
      </c>
      <c r="J9" s="1">
        <v>0</v>
      </c>
      <c r="K9" s="1">
        <f t="shared" si="2"/>
        <v>180</v>
      </c>
      <c r="L9" s="1">
        <f>1/(1+$A$20)^H9</f>
        <v>0.37043153917835481</v>
      </c>
      <c r="M9" s="1">
        <f t="shared" si="3"/>
        <v>66.67767705210386</v>
      </c>
    </row>
    <row r="10" spans="1:13">
      <c r="A10" s="1">
        <v>7</v>
      </c>
      <c r="B10" s="1">
        <v>100</v>
      </c>
      <c r="C10" s="1">
        <v>30</v>
      </c>
      <c r="D10" s="1">
        <f t="shared" si="0"/>
        <v>70</v>
      </c>
      <c r="E10" s="1">
        <f>1/(1+$A$20)^A10</f>
        <v>0.31392503320199561</v>
      </c>
      <c r="F10" s="1">
        <f t="shared" si="1"/>
        <v>21.974752324139693</v>
      </c>
      <c r="H10" s="1">
        <v>7</v>
      </c>
      <c r="I10" s="1">
        <v>120</v>
      </c>
      <c r="J10" s="1">
        <v>50</v>
      </c>
      <c r="K10" s="1">
        <f t="shared" si="2"/>
        <v>70</v>
      </c>
      <c r="L10" s="1">
        <f>1/(1+$A$20)^H10</f>
        <v>0.31392503320199561</v>
      </c>
      <c r="M10" s="1">
        <f t="shared" si="3"/>
        <v>21.974752324139693</v>
      </c>
    </row>
    <row r="12" spans="1:13">
      <c r="A12" s="1" t="s">
        <v>10</v>
      </c>
      <c r="B12" s="1">
        <f>SUM(F3:F10)</f>
        <v>119.68906766103044</v>
      </c>
      <c r="H12" s="1" t="s">
        <v>10</v>
      </c>
      <c r="I12" s="1">
        <f>SUM(M3:M10)</f>
        <v>170.24698824295794</v>
      </c>
    </row>
    <row r="20" spans="1:1">
      <c r="A20" s="3">
        <v>0.18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5202-B86C-442E-9B0B-0C2110BEDA20}">
  <dimension ref="A1:H9"/>
  <sheetViews>
    <sheetView workbookViewId="0">
      <selection activeCell="C15" sqref="C15"/>
    </sheetView>
  </sheetViews>
  <sheetFormatPr defaultRowHeight="14.4"/>
  <cols>
    <col min="2" max="2" width="20.88671875" customWidth="1"/>
    <col min="3" max="3" width="23.21875" customWidth="1"/>
    <col min="7" max="7" width="22" customWidth="1"/>
    <col min="8" max="8" width="17.109375" customWidth="1"/>
  </cols>
  <sheetData>
    <row r="1" spans="1:8">
      <c r="A1" s="5" t="s">
        <v>14</v>
      </c>
      <c r="B1" s="6"/>
      <c r="C1" s="7"/>
      <c r="F1" s="5" t="s">
        <v>17</v>
      </c>
      <c r="G1" s="6"/>
      <c r="H1" s="7"/>
    </row>
    <row r="2" spans="1:8">
      <c r="A2" s="12" t="s">
        <v>0</v>
      </c>
      <c r="B2" s="12" t="s">
        <v>18</v>
      </c>
      <c r="C2" s="12" t="s">
        <v>19</v>
      </c>
      <c r="F2" s="12" t="s">
        <v>0</v>
      </c>
      <c r="G2" s="12" t="s">
        <v>18</v>
      </c>
      <c r="H2" s="12" t="s">
        <v>19</v>
      </c>
    </row>
    <row r="3" spans="1:8">
      <c r="A3" s="13">
        <v>0</v>
      </c>
      <c r="B3" s="14">
        <v>-150</v>
      </c>
      <c r="C3" s="14">
        <v>-150</v>
      </c>
      <c r="F3" s="13">
        <v>0</v>
      </c>
      <c r="G3" s="14">
        <v>-200</v>
      </c>
      <c r="H3" s="14">
        <v>-200</v>
      </c>
    </row>
    <row r="4" spans="1:8">
      <c r="A4" s="13">
        <v>1</v>
      </c>
      <c r="B4" s="14">
        <v>40</v>
      </c>
      <c r="C4" s="14">
        <v>-110</v>
      </c>
      <c r="F4" s="13">
        <v>1</v>
      </c>
      <c r="G4" s="15">
        <v>50</v>
      </c>
      <c r="H4" s="14">
        <v>-150</v>
      </c>
    </row>
    <row r="5" spans="1:8">
      <c r="A5" s="13">
        <v>2</v>
      </c>
      <c r="B5" s="14">
        <v>40</v>
      </c>
      <c r="C5" s="14">
        <v>-70</v>
      </c>
      <c r="F5" s="13">
        <v>2</v>
      </c>
      <c r="G5" s="15">
        <v>50</v>
      </c>
      <c r="H5" s="14">
        <v>-100</v>
      </c>
    </row>
    <row r="6" spans="1:8">
      <c r="A6" s="13">
        <v>3</v>
      </c>
      <c r="B6" s="14">
        <v>40</v>
      </c>
      <c r="C6" s="14">
        <v>-30</v>
      </c>
      <c r="F6" s="13">
        <v>3</v>
      </c>
      <c r="G6" s="15">
        <v>50</v>
      </c>
      <c r="H6" s="15">
        <v>-50</v>
      </c>
    </row>
    <row r="7" spans="1:8">
      <c r="A7" s="13">
        <v>4</v>
      </c>
      <c r="B7" s="14">
        <v>40</v>
      </c>
      <c r="C7" s="14">
        <v>10</v>
      </c>
      <c r="F7" s="13">
        <v>4</v>
      </c>
      <c r="G7" s="15">
        <v>50</v>
      </c>
      <c r="H7" s="13">
        <v>0</v>
      </c>
    </row>
    <row r="9" spans="1:8">
      <c r="A9" s="1" t="s">
        <v>20</v>
      </c>
      <c r="B9" s="1">
        <f>150/40</f>
        <v>3.75</v>
      </c>
      <c r="F9" s="1" t="s">
        <v>20</v>
      </c>
      <c r="G9" s="1">
        <f>200/50</f>
        <v>4</v>
      </c>
    </row>
  </sheetData>
  <mergeCells count="2">
    <mergeCell ref="A1:C1"/>
    <mergeCell ref="F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EAFC-6AD2-420D-9B9C-04CB617337EC}">
  <dimension ref="A1:K10"/>
  <sheetViews>
    <sheetView tabSelected="1" workbookViewId="0">
      <selection activeCell="J11" sqref="J11"/>
    </sheetView>
  </sheetViews>
  <sheetFormatPr defaultRowHeight="14.4"/>
  <cols>
    <col min="1" max="1" width="10.88671875" customWidth="1"/>
    <col min="3" max="3" width="24.77734375" customWidth="1"/>
    <col min="4" max="4" width="19.77734375" customWidth="1"/>
    <col min="5" max="5" width="19.5546875" customWidth="1"/>
    <col min="10" max="10" width="26.33203125" customWidth="1"/>
  </cols>
  <sheetData>
    <row r="1" spans="1:11">
      <c r="A1" s="12" t="s">
        <v>0</v>
      </c>
      <c r="B1" s="12" t="s">
        <v>3</v>
      </c>
      <c r="C1" s="12" t="s">
        <v>6</v>
      </c>
      <c r="D1" s="17" t="s">
        <v>7</v>
      </c>
      <c r="E1" s="12" t="s">
        <v>22</v>
      </c>
      <c r="G1" s="12" t="s">
        <v>21</v>
      </c>
      <c r="H1" s="16">
        <v>0.1</v>
      </c>
      <c r="J1" s="1" t="s">
        <v>23</v>
      </c>
      <c r="K1" s="1">
        <f>7 + ABS(E9)/D10</f>
        <v>7.2820559500000028</v>
      </c>
    </row>
    <row r="2" spans="1:11">
      <c r="A2" s="13">
        <v>0</v>
      </c>
      <c r="B2" s="13">
        <v>-5000</v>
      </c>
      <c r="C2" s="13">
        <f>1/(1+$H$1)^A2</f>
        <v>1</v>
      </c>
      <c r="D2" s="13">
        <f>B2*C2</f>
        <v>-5000</v>
      </c>
      <c r="E2" s="13">
        <f>C2*D2</f>
        <v>-5000</v>
      </c>
    </row>
    <row r="3" spans="1:11">
      <c r="A3" s="13">
        <v>1</v>
      </c>
      <c r="B3" s="13">
        <v>1000</v>
      </c>
      <c r="C3" s="13">
        <f t="shared" ref="C3:C10" si="0">1/(1+$H$1)^A3</f>
        <v>0.90909090909090906</v>
      </c>
      <c r="D3" s="13">
        <f t="shared" ref="D3:D10" si="1">B3*C3</f>
        <v>909.09090909090901</v>
      </c>
      <c r="E3" s="13">
        <f>E2+D3</f>
        <v>-4090.909090909091</v>
      </c>
    </row>
    <row r="4" spans="1:11">
      <c r="A4" s="13">
        <v>2</v>
      </c>
      <c r="B4" s="13">
        <v>1000</v>
      </c>
      <c r="C4" s="13">
        <f t="shared" si="0"/>
        <v>0.82644628099173545</v>
      </c>
      <c r="D4" s="13">
        <f t="shared" si="1"/>
        <v>826.44628099173542</v>
      </c>
      <c r="E4" s="13">
        <f t="shared" ref="E4:E10" si="2">E3+D4</f>
        <v>-3264.4628099173556</v>
      </c>
    </row>
    <row r="5" spans="1:11">
      <c r="A5" s="13">
        <v>3</v>
      </c>
      <c r="B5" s="13">
        <v>1000</v>
      </c>
      <c r="C5" s="13">
        <f t="shared" si="0"/>
        <v>0.75131480090157754</v>
      </c>
      <c r="D5" s="13">
        <f t="shared" si="1"/>
        <v>751.31480090157754</v>
      </c>
      <c r="E5" s="13">
        <f t="shared" si="2"/>
        <v>-2513.1480090157779</v>
      </c>
    </row>
    <row r="6" spans="1:11">
      <c r="A6" s="13">
        <v>4</v>
      </c>
      <c r="B6" s="13">
        <v>1000</v>
      </c>
      <c r="C6" s="13">
        <f t="shared" si="0"/>
        <v>0.68301345536507052</v>
      </c>
      <c r="D6" s="13">
        <f t="shared" si="1"/>
        <v>683.01345536507051</v>
      </c>
      <c r="E6" s="13">
        <f t="shared" si="2"/>
        <v>-1830.1345536507074</v>
      </c>
    </row>
    <row r="7" spans="1:11">
      <c r="A7" s="13">
        <v>5</v>
      </c>
      <c r="B7" s="13">
        <v>1000</v>
      </c>
      <c r="C7" s="13">
        <f t="shared" si="0"/>
        <v>0.62092132305915493</v>
      </c>
      <c r="D7" s="13">
        <f t="shared" si="1"/>
        <v>620.92132305915493</v>
      </c>
      <c r="E7" s="13">
        <f t="shared" si="2"/>
        <v>-1209.2132305915525</v>
      </c>
    </row>
    <row r="8" spans="1:11">
      <c r="A8" s="13">
        <v>6</v>
      </c>
      <c r="B8" s="13">
        <v>1000</v>
      </c>
      <c r="C8" s="13">
        <f t="shared" si="0"/>
        <v>0.56447393005377722</v>
      </c>
      <c r="D8" s="13">
        <f t="shared" si="1"/>
        <v>564.47393005377717</v>
      </c>
      <c r="E8" s="13">
        <f t="shared" si="2"/>
        <v>-644.73930053777531</v>
      </c>
    </row>
    <row r="9" spans="1:11">
      <c r="A9" s="13">
        <v>7</v>
      </c>
      <c r="B9" s="13">
        <v>1000</v>
      </c>
      <c r="C9" s="13">
        <f t="shared" si="0"/>
        <v>0.51315811823070645</v>
      </c>
      <c r="D9" s="13">
        <f t="shared" si="1"/>
        <v>513.15811823070646</v>
      </c>
      <c r="E9" s="13">
        <f t="shared" si="2"/>
        <v>-131.58118230706884</v>
      </c>
    </row>
    <row r="10" spans="1:11">
      <c r="A10" s="13">
        <v>8</v>
      </c>
      <c r="B10" s="13">
        <v>1000</v>
      </c>
      <c r="C10" s="13">
        <f t="shared" si="0"/>
        <v>0.46650738020973315</v>
      </c>
      <c r="D10" s="13">
        <f t="shared" si="1"/>
        <v>466.50738020973313</v>
      </c>
      <c r="E10" s="13">
        <f t="shared" si="2"/>
        <v>334.92619790266428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CA9E-6DFB-4149-B79B-BC1C88CC693B}">
  <dimension ref="A1:J9"/>
  <sheetViews>
    <sheetView workbookViewId="0">
      <selection activeCell="I12" sqref="I12"/>
    </sheetView>
  </sheetViews>
  <sheetFormatPr defaultRowHeight="14.4"/>
  <cols>
    <col min="5" max="5" width="16.109375" customWidth="1"/>
    <col min="7" max="7" width="12.21875" bestFit="1" customWidth="1"/>
    <col min="9" max="9" width="25" customWidth="1"/>
  </cols>
  <sheetData>
    <row r="1" spans="1:10">
      <c r="A1" s="18" t="s">
        <v>0</v>
      </c>
      <c r="B1" s="18" t="s">
        <v>1</v>
      </c>
      <c r="C1" s="18" t="s">
        <v>2</v>
      </c>
      <c r="D1" s="18" t="s">
        <v>24</v>
      </c>
      <c r="E1" s="18" t="s">
        <v>6</v>
      </c>
      <c r="F1" s="18" t="s">
        <v>7</v>
      </c>
      <c r="G1" s="18" t="s">
        <v>22</v>
      </c>
      <c r="I1" s="1" t="s">
        <v>23</v>
      </c>
      <c r="J1" s="1">
        <f>4+ABS(G6)/F7</f>
        <v>4.6778199317499993</v>
      </c>
    </row>
    <row r="2" spans="1:10">
      <c r="A2" s="13">
        <v>0</v>
      </c>
      <c r="B2" s="13">
        <v>100</v>
      </c>
      <c r="C2" s="13">
        <v>0</v>
      </c>
      <c r="D2" s="13">
        <v>-100</v>
      </c>
      <c r="E2" s="13">
        <f>1/(1+$B$9)^A2</f>
        <v>1</v>
      </c>
      <c r="F2" s="13">
        <f>D2*E2</f>
        <v>-100</v>
      </c>
      <c r="G2" s="13">
        <f>E2*F2</f>
        <v>-100</v>
      </c>
    </row>
    <row r="3" spans="1:10">
      <c r="A3" s="13">
        <v>1</v>
      </c>
      <c r="B3" s="13">
        <v>0</v>
      </c>
      <c r="C3" s="13">
        <v>30</v>
      </c>
      <c r="D3" s="13">
        <v>30</v>
      </c>
      <c r="E3" s="13">
        <f t="shared" ref="E3:E7" si="0">1/(1+$B$9)^A3</f>
        <v>0.85470085470085477</v>
      </c>
      <c r="F3" s="13">
        <f t="shared" ref="F3:F7" si="1">D3*E3</f>
        <v>25.641025641025642</v>
      </c>
      <c r="G3" s="13">
        <f>G2+F3</f>
        <v>-74.358974358974365</v>
      </c>
    </row>
    <row r="4" spans="1:10">
      <c r="A4" s="13">
        <v>2</v>
      </c>
      <c r="B4" s="13">
        <v>0</v>
      </c>
      <c r="C4" s="13">
        <v>30</v>
      </c>
      <c r="D4" s="13">
        <v>30</v>
      </c>
      <c r="E4" s="13">
        <f t="shared" si="0"/>
        <v>0.73051355102637161</v>
      </c>
      <c r="F4" s="13">
        <f t="shared" si="1"/>
        <v>21.915406530791149</v>
      </c>
      <c r="G4" s="13">
        <f t="shared" ref="G4:G7" si="2">G3+F4</f>
        <v>-52.44356782818322</v>
      </c>
    </row>
    <row r="5" spans="1:10">
      <c r="A5" s="13">
        <v>3</v>
      </c>
      <c r="B5" s="13">
        <v>0</v>
      </c>
      <c r="C5" s="13">
        <v>30</v>
      </c>
      <c r="D5" s="13">
        <v>30</v>
      </c>
      <c r="E5" s="13">
        <f t="shared" si="0"/>
        <v>0.62437055643279626</v>
      </c>
      <c r="F5" s="13">
        <f t="shared" si="1"/>
        <v>18.731116692983889</v>
      </c>
      <c r="G5" s="13">
        <f t="shared" si="2"/>
        <v>-33.712451135199331</v>
      </c>
    </row>
    <row r="6" spans="1:10">
      <c r="A6" s="13">
        <v>4</v>
      </c>
      <c r="B6" s="13">
        <v>0</v>
      </c>
      <c r="C6" s="13">
        <v>40</v>
      </c>
      <c r="D6" s="13">
        <v>40</v>
      </c>
      <c r="E6" s="13">
        <f t="shared" si="0"/>
        <v>0.53365004823315931</v>
      </c>
      <c r="F6" s="13">
        <f t="shared" si="1"/>
        <v>21.346001929326373</v>
      </c>
      <c r="G6" s="13">
        <f t="shared" si="2"/>
        <v>-12.366449205872957</v>
      </c>
    </row>
    <row r="7" spans="1:10">
      <c r="A7" s="13">
        <v>5</v>
      </c>
      <c r="B7" s="13">
        <v>0</v>
      </c>
      <c r="C7" s="13">
        <v>40</v>
      </c>
      <c r="D7" s="13">
        <v>40</v>
      </c>
      <c r="E7" s="13">
        <f t="shared" si="0"/>
        <v>0.45611115233603361</v>
      </c>
      <c r="F7" s="13">
        <f t="shared" si="1"/>
        <v>18.244446093441343</v>
      </c>
      <c r="G7" s="13">
        <f t="shared" si="2"/>
        <v>5.8779968875683863</v>
      </c>
    </row>
    <row r="9" spans="1:10">
      <c r="A9" s="1" t="s">
        <v>21</v>
      </c>
      <c r="B9" s="16">
        <v>0.17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1464-4417-455E-BB45-9D712EAB2BF9}">
  <dimension ref="A1:I5"/>
  <sheetViews>
    <sheetView workbookViewId="0">
      <selection activeCell="E13" sqref="E13"/>
    </sheetView>
  </sheetViews>
  <sheetFormatPr defaultRowHeight="14.4"/>
  <cols>
    <col min="1" max="1" width="12" customWidth="1"/>
    <col min="4" max="4" width="17" customWidth="1"/>
    <col min="5" max="5" width="16.109375" customWidth="1"/>
  </cols>
  <sheetData>
    <row r="1" spans="1:9">
      <c r="A1" s="19" t="s">
        <v>25</v>
      </c>
      <c r="B1" s="19" t="s">
        <v>26</v>
      </c>
      <c r="C1" s="19" t="s">
        <v>27</v>
      </c>
      <c r="D1" s="19" t="s">
        <v>6</v>
      </c>
      <c r="E1" s="19" t="s">
        <v>28</v>
      </c>
      <c r="H1" s="19" t="s">
        <v>21</v>
      </c>
      <c r="I1" s="16">
        <v>0.17</v>
      </c>
    </row>
    <row r="2" spans="1:9">
      <c r="A2" s="20">
        <v>100</v>
      </c>
      <c r="B2" s="20">
        <v>2</v>
      </c>
      <c r="C2" s="21">
        <f>3-B2</f>
        <v>1</v>
      </c>
      <c r="D2" s="21">
        <f>(1+$I$1)^C2</f>
        <v>1.17</v>
      </c>
      <c r="E2" s="21">
        <f>A2*D2</f>
        <v>117</v>
      </c>
    </row>
    <row r="3" spans="1:9">
      <c r="A3" s="20">
        <v>300</v>
      </c>
      <c r="B3" s="20">
        <v>5</v>
      </c>
      <c r="C3" s="21">
        <f>3-B3</f>
        <v>-2</v>
      </c>
      <c r="D3" s="21">
        <f>(1+$I$1)^C3</f>
        <v>0.73051355102637161</v>
      </c>
      <c r="E3" s="21">
        <f>A3*D3</f>
        <v>219.15406530791148</v>
      </c>
    </row>
    <row r="5" spans="1:9">
      <c r="D5" s="1" t="s">
        <v>29</v>
      </c>
      <c r="E5" s="1">
        <f>SUM(E2:E3)</f>
        <v>336.15406530791148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8EB9-F6BA-475C-ABA8-43EDAB676926}">
  <sheetPr filterMode="1"/>
  <dimension ref="A1:L7"/>
  <sheetViews>
    <sheetView workbookViewId="0">
      <selection activeCell="H26" sqref="H26"/>
    </sheetView>
  </sheetViews>
  <sheetFormatPr defaultRowHeight="14.4"/>
  <cols>
    <col min="2" max="2" width="14.88671875" customWidth="1"/>
    <col min="3" max="3" width="23.88671875" customWidth="1"/>
    <col min="4" max="4" width="11.6640625" customWidth="1"/>
    <col min="5" max="5" width="27.33203125" customWidth="1"/>
    <col min="6" max="6" width="9.44140625" customWidth="1"/>
    <col min="7" max="7" width="27.21875" customWidth="1"/>
    <col min="8" max="8" width="15.21875" customWidth="1"/>
    <col min="9" max="9" width="17.44140625" customWidth="1"/>
    <col min="11" max="11" width="8.88671875" style="11"/>
    <col min="12" max="12" width="13" customWidth="1"/>
  </cols>
  <sheetData>
    <row r="1" spans="1:12">
      <c r="A1" s="1" t="s">
        <v>30</v>
      </c>
      <c r="B1" s="1" t="s">
        <v>31</v>
      </c>
      <c r="C1" s="1" t="s">
        <v>36</v>
      </c>
      <c r="D1" s="1" t="s">
        <v>32</v>
      </c>
      <c r="E1" s="1" t="s">
        <v>35</v>
      </c>
      <c r="F1" s="1" t="s">
        <v>33</v>
      </c>
      <c r="G1" s="1" t="s">
        <v>34</v>
      </c>
      <c r="H1" s="1" t="s">
        <v>37</v>
      </c>
      <c r="I1" s="1" t="s">
        <v>38</v>
      </c>
      <c r="J1" s="1" t="s">
        <v>39</v>
      </c>
      <c r="L1" s="1" t="s">
        <v>46</v>
      </c>
    </row>
    <row r="2" spans="1:12" hidden="1">
      <c r="A2" s="1" t="s">
        <v>40</v>
      </c>
      <c r="B2" s="1">
        <v>5</v>
      </c>
      <c r="C2" s="1">
        <v>5</v>
      </c>
      <c r="D2" s="1">
        <v>4</v>
      </c>
      <c r="E2" s="1">
        <v>3</v>
      </c>
      <c r="F2" s="1">
        <v>1</v>
      </c>
      <c r="G2" s="1">
        <v>3</v>
      </c>
      <c r="H2" s="1"/>
      <c r="I2" s="1"/>
      <c r="J2" s="1"/>
      <c r="L2" s="1">
        <f>SUM(B2:G2)</f>
        <v>21</v>
      </c>
    </row>
    <row r="3" spans="1:12">
      <c r="A3" s="1" t="s">
        <v>41</v>
      </c>
      <c r="B3" s="1">
        <v>9</v>
      </c>
      <c r="C3" s="1">
        <v>5</v>
      </c>
      <c r="D3" s="1">
        <v>2</v>
      </c>
      <c r="E3" s="1">
        <v>0</v>
      </c>
      <c r="F3" s="1">
        <v>2</v>
      </c>
      <c r="G3" s="1">
        <v>5</v>
      </c>
      <c r="H3" s="1">
        <f>SUMPRODUCT($B$2:$G$2, B3:G3)</f>
        <v>95</v>
      </c>
      <c r="I3" s="1">
        <f>H3/$L$2</f>
        <v>4.5238095238095237</v>
      </c>
      <c r="J3" s="1">
        <f>_xlfn.RANK.EQ(H3, $H$3:$H$7, 0)</f>
        <v>2</v>
      </c>
    </row>
    <row r="4" spans="1:12" hidden="1">
      <c r="A4" s="1" t="s">
        <v>42</v>
      </c>
      <c r="B4" s="1">
        <v>2</v>
      </c>
      <c r="C4" s="1">
        <v>6</v>
      </c>
      <c r="D4" s="1">
        <v>2</v>
      </c>
      <c r="E4" s="1">
        <v>0</v>
      </c>
      <c r="F4" s="1">
        <v>5</v>
      </c>
      <c r="G4" s="1">
        <v>1</v>
      </c>
      <c r="H4" s="1">
        <f t="shared" ref="H4:H7" si="0">SUMPRODUCT($B$2:$G$2, B4:G4)</f>
        <v>56</v>
      </c>
      <c r="I4" s="1">
        <f t="shared" ref="I4:I7" si="1">H4/$L$2</f>
        <v>2.6666666666666665</v>
      </c>
      <c r="J4" s="1">
        <f t="shared" ref="J4:J7" si="2">_xlfn.RANK.EQ(H4, $H$3:$H$7, 0)</f>
        <v>5</v>
      </c>
    </row>
    <row r="5" spans="1:12">
      <c r="A5" s="1" t="s">
        <v>43</v>
      </c>
      <c r="B5" s="1">
        <v>6</v>
      </c>
      <c r="C5" s="1">
        <v>8</v>
      </c>
      <c r="D5" s="1">
        <v>2</v>
      </c>
      <c r="E5" s="1">
        <v>2</v>
      </c>
      <c r="F5" s="1">
        <v>6</v>
      </c>
      <c r="G5" s="1">
        <v>0</v>
      </c>
      <c r="H5" s="1">
        <f t="shared" si="0"/>
        <v>90</v>
      </c>
      <c r="I5" s="1">
        <f t="shared" si="1"/>
        <v>4.2857142857142856</v>
      </c>
      <c r="J5" s="1">
        <f t="shared" si="2"/>
        <v>3</v>
      </c>
    </row>
    <row r="6" spans="1:12" hidden="1">
      <c r="A6" s="1" t="s">
        <v>44</v>
      </c>
      <c r="B6" s="1">
        <v>1</v>
      </c>
      <c r="C6" s="1">
        <v>1</v>
      </c>
      <c r="D6" s="1">
        <v>5</v>
      </c>
      <c r="E6" s="1">
        <v>10</v>
      </c>
      <c r="F6" s="1">
        <v>5</v>
      </c>
      <c r="G6" s="1">
        <v>0</v>
      </c>
      <c r="H6" s="1">
        <f t="shared" si="0"/>
        <v>65</v>
      </c>
      <c r="I6" s="1">
        <f t="shared" si="1"/>
        <v>3.0952380952380953</v>
      </c>
      <c r="J6" s="1">
        <f t="shared" si="2"/>
        <v>4</v>
      </c>
    </row>
    <row r="7" spans="1:12">
      <c r="A7" s="1" t="s">
        <v>45</v>
      </c>
      <c r="B7" s="1">
        <v>3</v>
      </c>
      <c r="C7" s="1">
        <v>10</v>
      </c>
      <c r="D7" s="1">
        <v>9</v>
      </c>
      <c r="E7" s="1">
        <v>1</v>
      </c>
      <c r="F7" s="1">
        <v>8</v>
      </c>
      <c r="G7" s="1">
        <v>0</v>
      </c>
      <c r="H7" s="1">
        <f t="shared" si="0"/>
        <v>112</v>
      </c>
      <c r="I7" s="1">
        <f t="shared" si="1"/>
        <v>5.333333333333333</v>
      </c>
      <c r="J7" s="1">
        <f t="shared" si="2"/>
        <v>1</v>
      </c>
    </row>
  </sheetData>
  <autoFilter ref="A1:J7" xr:uid="{94E88EB9-F6BA-475C-ABA8-43EDAB676926}">
    <filterColumn colId="9">
      <customFilters>
        <customFilter operator="lessThanOrEqual" val="3"/>
      </customFilters>
    </filterColumn>
  </autoFilter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792B-3D28-4411-99EC-348EA8E1F73B}">
  <dimension ref="A1:G16"/>
  <sheetViews>
    <sheetView workbookViewId="0">
      <selection activeCell="F21" sqref="F21"/>
    </sheetView>
  </sheetViews>
  <sheetFormatPr defaultRowHeight="14.4"/>
  <cols>
    <col min="3" max="3" width="15.109375" customWidth="1"/>
  </cols>
  <sheetData>
    <row r="1" spans="1:7">
      <c r="A1" s="1" t="s">
        <v>47</v>
      </c>
      <c r="B1" s="1" t="s">
        <v>3</v>
      </c>
      <c r="C1" s="1" t="s">
        <v>6</v>
      </c>
      <c r="D1" s="1" t="s">
        <v>48</v>
      </c>
      <c r="F1" s="1" t="s">
        <v>21</v>
      </c>
      <c r="G1" s="24">
        <v>1.4999999999999999E-2</v>
      </c>
    </row>
    <row r="2" spans="1:7">
      <c r="A2" s="1">
        <v>0</v>
      </c>
      <c r="B2" s="23">
        <v>200</v>
      </c>
      <c r="C2" s="1">
        <v>1</v>
      </c>
      <c r="D2" s="1">
        <v>200</v>
      </c>
    </row>
    <row r="3" spans="1:7">
      <c r="A3" s="1">
        <v>1</v>
      </c>
      <c r="B3" s="1">
        <v>25</v>
      </c>
      <c r="C3" s="1">
        <f>1/(1+$G$1)^A3</f>
        <v>0.98522167487684742</v>
      </c>
      <c r="D3" s="1">
        <f>B3*C3</f>
        <v>24.630541871921185</v>
      </c>
    </row>
    <row r="4" spans="1:7">
      <c r="A4" s="1">
        <v>2</v>
      </c>
      <c r="B4" s="1">
        <v>25</v>
      </c>
      <c r="C4" s="1">
        <f>1/(1+$G$1)^A4</f>
        <v>0.9706617486471405</v>
      </c>
      <c r="D4" s="1">
        <f t="shared" ref="D4:D14" si="0">B4*C4</f>
        <v>24.266543716178511</v>
      </c>
    </row>
    <row r="5" spans="1:7">
      <c r="A5" s="1">
        <v>3</v>
      </c>
      <c r="B5" s="1">
        <v>25</v>
      </c>
      <c r="C5" s="1">
        <f>1/(1+$G$1)^A5</f>
        <v>0.95631699374102519</v>
      </c>
      <c r="D5" s="1">
        <f t="shared" si="0"/>
        <v>23.907924843525631</v>
      </c>
    </row>
    <row r="6" spans="1:7">
      <c r="A6" s="1">
        <v>4</v>
      </c>
      <c r="B6" s="1">
        <v>25</v>
      </c>
      <c r="C6" s="1">
        <f>1/(1+$G$1)^A6</f>
        <v>0.94218423028672449</v>
      </c>
      <c r="D6" s="1">
        <f t="shared" si="0"/>
        <v>23.554605757168112</v>
      </c>
    </row>
    <row r="7" spans="1:7">
      <c r="A7" s="1">
        <v>5</v>
      </c>
      <c r="B7" s="1">
        <v>25</v>
      </c>
      <c r="C7" s="1">
        <f>1/(1+$G$1)^A7</f>
        <v>0.92826032540563996</v>
      </c>
      <c r="D7" s="1">
        <f t="shared" si="0"/>
        <v>23.206508135141</v>
      </c>
    </row>
    <row r="8" spans="1:7">
      <c r="A8" s="1">
        <v>6</v>
      </c>
      <c r="B8" s="1">
        <v>25</v>
      </c>
      <c r="C8" s="1">
        <f>1/(1+$G$1)^A8</f>
        <v>0.91454219251787205</v>
      </c>
      <c r="D8" s="1">
        <f t="shared" si="0"/>
        <v>22.863554812946802</v>
      </c>
    </row>
    <row r="9" spans="1:7">
      <c r="A9" s="1">
        <v>7</v>
      </c>
      <c r="B9" s="1">
        <v>25</v>
      </c>
      <c r="C9" s="1">
        <f>1/(1+$G$1)^A9</f>
        <v>0.90102679065800217</v>
      </c>
      <c r="D9" s="1">
        <f t="shared" si="0"/>
        <v>22.525669766450054</v>
      </c>
    </row>
    <row r="10" spans="1:7">
      <c r="A10" s="1">
        <v>8</v>
      </c>
      <c r="B10" s="1">
        <v>25</v>
      </c>
      <c r="C10" s="1">
        <f>1/(1+$G$1)^A10</f>
        <v>0.88771112380098749</v>
      </c>
      <c r="D10" s="1">
        <f t="shared" si="0"/>
        <v>22.192778095024686</v>
      </c>
    </row>
    <row r="11" spans="1:7">
      <c r="A11" s="1">
        <v>9</v>
      </c>
      <c r="B11" s="1">
        <v>25</v>
      </c>
      <c r="C11" s="1">
        <f>1/(1+$G$1)^A11</f>
        <v>0.87459224019801729</v>
      </c>
      <c r="D11" s="1">
        <f t="shared" si="0"/>
        <v>21.864806004950431</v>
      </c>
    </row>
    <row r="12" spans="1:7">
      <c r="A12" s="1">
        <v>10</v>
      </c>
      <c r="B12" s="1">
        <v>25</v>
      </c>
      <c r="C12" s="1">
        <f>1/(1+$G$1)^A12</f>
        <v>0.86166723172218462</v>
      </c>
      <c r="D12" s="1">
        <f t="shared" si="0"/>
        <v>21.541680793054617</v>
      </c>
    </row>
    <row r="13" spans="1:7">
      <c r="A13" s="1">
        <v>11</v>
      </c>
      <c r="B13" s="1">
        <v>25</v>
      </c>
      <c r="C13" s="1">
        <f>1/(1+$G$1)^A13</f>
        <v>0.8489332332238273</v>
      </c>
      <c r="D13" s="1">
        <f t="shared" si="0"/>
        <v>21.223330830595682</v>
      </c>
    </row>
    <row r="14" spans="1:7">
      <c r="A14" s="1">
        <v>12</v>
      </c>
      <c r="B14" s="1">
        <v>25</v>
      </c>
      <c r="C14" s="1">
        <f>1/(1+$G$1)^A14</f>
        <v>0.83638742189539661</v>
      </c>
      <c r="D14" s="1">
        <f t="shared" si="0"/>
        <v>20.909685547384914</v>
      </c>
    </row>
    <row r="16" spans="1:7">
      <c r="C16" s="1" t="s">
        <v>49</v>
      </c>
      <c r="D16" s="1">
        <f>SUM(D2:D14)</f>
        <v>472.68763017434168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47F7-D47D-4DC2-ADB8-F482BB80CA52}">
  <dimension ref="A1:E10"/>
  <sheetViews>
    <sheetView workbookViewId="0">
      <selection activeCell="A12" sqref="A12"/>
    </sheetView>
  </sheetViews>
  <sheetFormatPr defaultRowHeight="14.4"/>
  <cols>
    <col min="1" max="1" width="15.44140625" customWidth="1"/>
    <col min="4" max="4" width="26" customWidth="1"/>
  </cols>
  <sheetData>
    <row r="1" spans="1:5">
      <c r="A1" s="16" t="s">
        <v>50</v>
      </c>
      <c r="B1" s="16">
        <v>0.12</v>
      </c>
      <c r="D1" s="8" t="s">
        <v>55</v>
      </c>
      <c r="E1" s="25">
        <f xml:space="preserve"> B2*(1+$B$1)^B4 - B3*(((1+$B$1)^B4 - 1)/$B$1)</f>
        <v>120.17802345676802</v>
      </c>
    </row>
    <row r="2" spans="1:5">
      <c r="A2" s="1" t="s">
        <v>51</v>
      </c>
      <c r="B2" s="1">
        <v>100</v>
      </c>
    </row>
    <row r="3" spans="1:5">
      <c r="A3" s="1" t="s">
        <v>52</v>
      </c>
      <c r="B3" s="1">
        <v>10</v>
      </c>
      <c r="D3" s="1" t="s">
        <v>56</v>
      </c>
      <c r="E3" s="25">
        <f>PMT($B$1, B5, -E1, 0, 0)</f>
        <v>33.338553272347106</v>
      </c>
    </row>
    <row r="4" spans="1:5">
      <c r="A4" s="1" t="s">
        <v>53</v>
      </c>
      <c r="B4" s="1">
        <v>7</v>
      </c>
    </row>
    <row r="5" spans="1:5">
      <c r="A5" s="1" t="s">
        <v>54</v>
      </c>
      <c r="B5" s="1">
        <v>5</v>
      </c>
    </row>
    <row r="9" spans="1:5">
      <c r="B9" s="22"/>
    </row>
    <row r="10" spans="1:5">
      <c r="B10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cp:lastPrinted>2025-09-20T02:32:27Z</cp:lastPrinted>
  <dcterms:created xsi:type="dcterms:W3CDTF">2025-09-19T15:33:05Z</dcterms:created>
  <dcterms:modified xsi:type="dcterms:W3CDTF">2025-09-20T07:05:43Z</dcterms:modified>
</cp:coreProperties>
</file>